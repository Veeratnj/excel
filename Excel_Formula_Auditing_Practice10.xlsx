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Audi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2" customWidth="1" min="4" max="4"/>
    <col width="18" customWidth="1" min="5" max="5"/>
    <col width="18" customWidth="1" min="6" max="6"/>
    <col width="15" customWidth="1" min="7" max="7"/>
    <col width="16" customWidth="1" min="8" max="8"/>
    <col width="15" customWidth="1" min="9" max="9"/>
    <col width="18" customWidth="1" min="10" max="10"/>
    <col width="20" customWidth="1" min="11" max="11"/>
    <col width="18" customWidth="1" min="12" max="12"/>
    <col width="18" customWidth="1" min="13" max="13"/>
    <col width="20" customWidth="1" min="14" max="14"/>
    <col width="4" customWidth="1" min="15" max="15"/>
    <col width="28" customWidth="1" min="16" max="16"/>
    <col width="25" customWidth="1" min="17" max="17"/>
    <col width="25" customWidth="1" min="18" max="18"/>
    <col width="25" customWidth="1" min="19" max="19"/>
    <col width="24" customWidth="1" min="20" max="20"/>
  </cols>
  <sheetData>
    <row r="1">
      <c r="A1" s="1" t="inlineStr">
        <is>
          <t>Excel Formula Auditing &amp; Complete Business Dataset - Practice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Auditing Tool</t>
        </is>
      </c>
      <c r="B3" s="3" t="inlineStr">
        <is>
          <t>What It Does</t>
        </is>
      </c>
      <c r="C3" s="3" t="inlineStr">
        <is>
          <t>Practice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</row>
    <row r="4">
      <c r="A4" s="5" t="inlineStr">
        <is>
          <t>Trace Precedents</t>
        </is>
      </c>
      <c r="B4" s="5" t="inlineStr">
        <is>
          <t>Shows cells that feed into the selected formula</t>
        </is>
      </c>
      <c r="C4" s="5" t="inlineStr">
        <is>
          <t>Select a formula cell and trace its inputs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5" t="inlineStr">
        <is>
          <t>Trace Dependents</t>
        </is>
      </c>
      <c r="B5" s="5" t="inlineStr">
        <is>
          <t>Shows cells that depend on the selected cell</t>
        </is>
      </c>
      <c r="C5" s="5" t="inlineStr">
        <is>
          <t>Select an input cell and trace where it is used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5" t="inlineStr">
        <is>
          <t>Evaluate Formula</t>
        </is>
      </c>
      <c r="B6" s="5" t="inlineStr">
        <is>
          <t>Shows how Excel calculates a formula step by step</t>
        </is>
      </c>
      <c r="C6" s="5" t="inlineStr">
        <is>
          <t>Evaluate a nested formula one step at a time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5" t="inlineStr">
        <is>
          <t>Find Errors</t>
        </is>
      </c>
      <c r="B7" s="5" t="inlineStr">
        <is>
          <t>Helps locate cells containing formula errors</t>
        </is>
      </c>
      <c r="C7" s="5" t="inlineStr">
        <is>
          <t>Use Find / Go To Special / error indicators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6" t="inlineStr">
        <is>
          <t>Complete Business Dataset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6" t="inlineStr">
        <is>
          <t>Business Analysis</t>
        </is>
      </c>
      <c r="Q11" s="2" t="n"/>
      <c r="R11" s="2" t="n"/>
      <c r="S11" s="2" t="n"/>
      <c r="T11" s="2" t="n"/>
    </row>
    <row r="12">
      <c r="A12" s="3" t="inlineStr">
        <is>
          <t>Order ID</t>
        </is>
      </c>
      <c r="B12" s="3" t="inlineStr">
        <is>
          <t>Date</t>
        </is>
      </c>
      <c r="C12" s="3" t="inlineStr">
        <is>
          <t>Salesperson</t>
        </is>
      </c>
      <c r="D12" s="3" t="inlineStr">
        <is>
          <t>Department</t>
        </is>
      </c>
      <c r="E12" s="3" t="inlineStr">
        <is>
          <t>Product</t>
        </is>
      </c>
      <c r="F12" s="3" t="inlineStr">
        <is>
          <t>Region</t>
        </is>
      </c>
      <c r="G12" s="3" t="inlineStr">
        <is>
          <t>Units</t>
        </is>
      </c>
      <c r="H12" s="3" t="inlineStr">
        <is>
          <t>Unit Price</t>
        </is>
      </c>
      <c r="I12" s="3" t="inlineStr">
        <is>
          <t>Discount %</t>
        </is>
      </c>
      <c r="J12" s="3" t="inlineStr">
        <is>
          <t>Revenue</t>
        </is>
      </c>
      <c r="K12" s="3" t="inlineStr">
        <is>
          <t>Discount Amount</t>
        </is>
      </c>
      <c r="L12" s="3" t="inlineStr">
        <is>
          <t>Net Sales</t>
        </is>
      </c>
      <c r="M12" s="3" t="inlineStr">
        <is>
          <t>Target</t>
        </is>
      </c>
      <c r="N12" s="3" t="inlineStr">
        <is>
          <t>Achievement %</t>
        </is>
      </c>
      <c r="O12" s="2" t="n"/>
      <c r="P12" s="3" t="inlineStr">
        <is>
          <t>Metric</t>
        </is>
      </c>
      <c r="Q12" s="3" t="inlineStr">
        <is>
          <t>Formula / Result</t>
        </is>
      </c>
      <c r="R12" s="3" t="inlineStr">
        <is>
          <t>Practice</t>
        </is>
      </c>
      <c r="S12" s="3" t="inlineStr">
        <is>
          <t>Audit Target</t>
        </is>
      </c>
      <c r="T12" s="6" t="inlineStr">
        <is>
          <t>Intentional Errors</t>
        </is>
      </c>
    </row>
    <row r="13">
      <c r="A13" s="5" t="inlineStr">
        <is>
          <t>ORD001</t>
        </is>
      </c>
      <c r="B13" s="5" t="inlineStr">
        <is>
          <t>2026-01-05</t>
        </is>
      </c>
      <c r="C13" s="5" t="inlineStr">
        <is>
          <t>Arun</t>
        </is>
      </c>
      <c r="D13" s="5" t="inlineStr">
        <is>
          <t>Sales</t>
        </is>
      </c>
      <c r="E13" s="5" t="inlineStr">
        <is>
          <t>Laptop</t>
        </is>
      </c>
      <c r="F13" s="5" t="inlineStr">
        <is>
          <t>Chennai</t>
        </is>
      </c>
      <c r="G13" s="5" t="n">
        <v>3</v>
      </c>
      <c r="H13" s="7" t="n">
        <v>55000</v>
      </c>
      <c r="I13" s="8" t="n">
        <v>0.05</v>
      </c>
      <c r="J13" s="9">
        <f>G13*H13</f>
        <v/>
      </c>
      <c r="K13" s="9">
        <f>J13*I13</f>
        <v/>
      </c>
      <c r="L13" s="9">
        <f>J13-K13</f>
        <v/>
      </c>
      <c r="M13" s="7" t="n">
        <v>80000</v>
      </c>
      <c r="N13" s="10">
        <f>IFERROR(L13/M13,0)</f>
        <v/>
      </c>
      <c r="O13" s="2" t="n"/>
      <c r="P13" s="5" t="inlineStr">
        <is>
          <t>Total Net Sales</t>
        </is>
      </c>
      <c r="Q13" s="7">
        <f>SUM(L13:L37)</f>
        <v/>
      </c>
      <c r="R13" s="11" t="inlineStr">
        <is>
          <t>Verify with SUM</t>
        </is>
      </c>
      <c r="S13" s="5" t="inlineStr">
        <is>
          <t>Trace Precedents</t>
        </is>
      </c>
      <c r="T13" s="5">
        <f>100/0</f>
        <v/>
      </c>
    </row>
    <row r="14">
      <c r="A14" s="5" t="inlineStr">
        <is>
          <t>ORD002</t>
        </is>
      </c>
      <c r="B14" s="5" t="inlineStr">
        <is>
          <t>2026-01-08</t>
        </is>
      </c>
      <c r="C14" s="5" t="inlineStr">
        <is>
          <t>Priya</t>
        </is>
      </c>
      <c r="D14" s="5" t="inlineStr">
        <is>
          <t>Sales</t>
        </is>
      </c>
      <c r="E14" s="5" t="inlineStr">
        <is>
          <t>Monitor</t>
        </is>
      </c>
      <c r="F14" s="5" t="inlineStr">
        <is>
          <t>Bangalore</t>
        </is>
      </c>
      <c r="G14" s="5" t="n">
        <v>5</v>
      </c>
      <c r="H14" s="7" t="n">
        <v>18000</v>
      </c>
      <c r="I14" s="8" t="n">
        <v>0.03</v>
      </c>
      <c r="J14" s="9">
        <f>G14*H14</f>
        <v/>
      </c>
      <c r="K14" s="9">
        <f>J14*I14</f>
        <v/>
      </c>
      <c r="L14" s="9">
        <f>J14-K14</f>
        <v/>
      </c>
      <c r="M14" s="7" t="n">
        <v>85000</v>
      </c>
      <c r="N14" s="10">
        <f>IFERROR(L14/M14,0)</f>
        <v/>
      </c>
      <c r="O14" s="2" t="n"/>
      <c r="P14" s="5" t="inlineStr">
        <is>
          <t>Average Net Sales</t>
        </is>
      </c>
      <c r="Q14" s="7">
        <f>AVERAGE(L13:L37)</f>
        <v/>
      </c>
      <c r="R14" s="11" t="inlineStr">
        <is>
          <t>Verify with AVERAGE</t>
        </is>
      </c>
      <c r="S14" s="5" t="inlineStr">
        <is>
          <t>Trace Precedents</t>
        </is>
      </c>
      <c r="T14" s="5">
        <f>XLOOKUP("EMP999",A13:A37,C13:C37)</f>
        <v/>
      </c>
    </row>
    <row r="15">
      <c r="A15" s="5" t="inlineStr">
        <is>
          <t>ORD003</t>
        </is>
      </c>
      <c r="B15" s="5" t="inlineStr">
        <is>
          <t>2026-01-12</t>
        </is>
      </c>
      <c r="C15" s="5" t="inlineStr">
        <is>
          <t>Rahul</t>
        </is>
      </c>
      <c r="D15" s="5" t="inlineStr">
        <is>
          <t>Sales</t>
        </is>
      </c>
      <c r="E15" s="5" t="inlineStr">
        <is>
          <t>Keyboard</t>
        </is>
      </c>
      <c r="F15" s="5" t="inlineStr">
        <is>
          <t>Chennai</t>
        </is>
      </c>
      <c r="G15" s="5" t="n">
        <v>8</v>
      </c>
      <c r="H15" s="7" t="n">
        <v>2500</v>
      </c>
      <c r="I15" s="8" t="n">
        <v>0.02</v>
      </c>
      <c r="J15" s="9">
        <f>G15*H15</f>
        <v/>
      </c>
      <c r="K15" s="9">
        <f>J15*I15</f>
        <v/>
      </c>
      <c r="L15" s="9">
        <f>J15-K15</f>
        <v/>
      </c>
      <c r="M15" s="7" t="n">
        <v>20000</v>
      </c>
      <c r="N15" s="10">
        <f>IFERROR(L15/M15,0)</f>
        <v/>
      </c>
      <c r="O15" s="2" t="n"/>
      <c r="P15" s="5" t="inlineStr">
        <is>
          <t>Highest Net Sale</t>
        </is>
      </c>
      <c r="Q15" s="7">
        <f>MAX(L13:L37)</f>
        <v/>
      </c>
      <c r="R15" s="11" t="inlineStr">
        <is>
          <t>Verify with MAX</t>
        </is>
      </c>
      <c r="S15" s="5" t="inlineStr">
        <is>
          <t>Trace Precedents</t>
        </is>
      </c>
      <c r="T15" s="5">
        <f>#REF!</f>
        <v/>
      </c>
    </row>
    <row r="16">
      <c r="A16" s="5" t="inlineStr">
        <is>
          <t>ORD004</t>
        </is>
      </c>
      <c r="B16" s="5" t="inlineStr">
        <is>
          <t>2026-01-15</t>
        </is>
      </c>
      <c r="C16" s="5" t="inlineStr">
        <is>
          <t>Divya</t>
        </is>
      </c>
      <c r="D16" s="5" t="inlineStr">
        <is>
          <t>Sales</t>
        </is>
      </c>
      <c r="E16" s="5" t="inlineStr">
        <is>
          <t>Laptop</t>
        </is>
      </c>
      <c r="F16" s="5" t="inlineStr">
        <is>
          <t>Hyderabad</t>
        </is>
      </c>
      <c r="G16" s="5" t="n">
        <v>4</v>
      </c>
      <c r="H16" s="7" t="n">
        <v>55000</v>
      </c>
      <c r="I16" s="8" t="n">
        <v>0.08</v>
      </c>
      <c r="J16" s="9">
        <f>G16*H16</f>
        <v/>
      </c>
      <c r="K16" s="9">
        <f>J16*I16</f>
        <v/>
      </c>
      <c r="L16" s="9">
        <f>J16-K16</f>
        <v/>
      </c>
      <c r="M16" s="7" t="n">
        <v>90000</v>
      </c>
      <c r="N16" s="10">
        <f>IFERROR(L16/M16,0)</f>
        <v/>
      </c>
      <c r="O16" s="2" t="n"/>
      <c r="P16" s="5" t="inlineStr">
        <is>
          <t>Lowest Net Sale</t>
        </is>
      </c>
      <c r="Q16" s="7">
        <f>MIN(L13:L37)</f>
        <v/>
      </c>
      <c r="R16" s="11" t="inlineStr">
        <is>
          <t>Verify with MIN</t>
        </is>
      </c>
      <c r="S16" s="5" t="inlineStr">
        <is>
          <t>Trace Precedents</t>
        </is>
      </c>
      <c r="T16" s="5">
        <f>"Hello"+10</f>
        <v/>
      </c>
    </row>
    <row r="17">
      <c r="A17" s="5" t="inlineStr">
        <is>
          <t>ORD005</t>
        </is>
      </c>
      <c r="B17" s="5" t="inlineStr">
        <is>
          <t>2026-01-20</t>
        </is>
      </c>
      <c r="C17" s="5" t="inlineStr">
        <is>
          <t>Karthik</t>
        </is>
      </c>
      <c r="D17" s="5" t="inlineStr">
        <is>
          <t>Finance</t>
        </is>
      </c>
      <c r="E17" s="5" t="inlineStr">
        <is>
          <t>Printer</t>
        </is>
      </c>
      <c r="F17" s="5" t="inlineStr">
        <is>
          <t>Chennai</t>
        </is>
      </c>
      <c r="G17" s="5" t="n">
        <v>4</v>
      </c>
      <c r="H17" s="7" t="n">
        <v>15000</v>
      </c>
      <c r="I17" s="8" t="n">
        <v>0.04</v>
      </c>
      <c r="J17" s="9">
        <f>G17*H17</f>
        <v/>
      </c>
      <c r="K17" s="9">
        <f>J17*I17</f>
        <v/>
      </c>
      <c r="L17" s="9">
        <f>J17-K17</f>
        <v/>
      </c>
      <c r="M17" s="7" t="n">
        <v>60000</v>
      </c>
      <c r="N17" s="10">
        <f>IFERROR(L17/M17,0)</f>
        <v/>
      </c>
      <c r="O17" s="2" t="n"/>
      <c r="P17" s="5" t="inlineStr">
        <is>
          <t>Number of Orders</t>
        </is>
      </c>
      <c r="Q17" s="7">
        <f>COUNTA(A13:A37)</f>
        <v/>
      </c>
      <c r="R17" s="11" t="inlineStr">
        <is>
          <t>Verify with COUNTA</t>
        </is>
      </c>
      <c r="S17" s="5" t="inlineStr">
        <is>
          <t>Trace Precedents</t>
        </is>
      </c>
      <c r="T17" s="5">
        <f>SMM(L13:L37)</f>
        <v/>
      </c>
    </row>
    <row r="18">
      <c r="A18" s="5" t="inlineStr">
        <is>
          <t>ORD006</t>
        </is>
      </c>
      <c r="B18" s="5" t="inlineStr">
        <is>
          <t>2026-01-23</t>
        </is>
      </c>
      <c r="C18" s="5" t="inlineStr">
        <is>
          <t>Anjali</t>
        </is>
      </c>
      <c r="D18" s="5" t="inlineStr">
        <is>
          <t>Sales</t>
        </is>
      </c>
      <c r="E18" s="5" t="inlineStr">
        <is>
          <t>Monitor</t>
        </is>
      </c>
      <c r="F18" s="5" t="inlineStr">
        <is>
          <t>Bangalore</t>
        </is>
      </c>
      <c r="G18" s="5" t="n">
        <v>6</v>
      </c>
      <c r="H18" s="7" t="n">
        <v>18000</v>
      </c>
      <c r="I18" s="8" t="n">
        <v>0.05</v>
      </c>
      <c r="J18" s="9">
        <f>G18*H18</f>
        <v/>
      </c>
      <c r="K18" s="9">
        <f>J18*I18</f>
        <v/>
      </c>
      <c r="L18" s="9">
        <f>J18-K18</f>
        <v/>
      </c>
      <c r="M18" s="7" t="n">
        <v>95000</v>
      </c>
      <c r="N18" s="10">
        <f>IFERROR(L18/M18,0)</f>
        <v/>
      </c>
      <c r="O18" s="2" t="n"/>
      <c r="P18" s="5" t="inlineStr">
        <is>
          <t>Sales from Chennai</t>
        </is>
      </c>
      <c r="Q18" s="7">
        <f>SUMIF(F13:F37,"Chennai",L13:L37)</f>
        <v/>
      </c>
      <c r="R18" s="11" t="inlineStr">
        <is>
          <t>Verify with SUMIF</t>
        </is>
      </c>
      <c r="S18" s="5" t="inlineStr">
        <is>
          <t>Evaluate Formula</t>
        </is>
      </c>
      <c r="T18" s="2" t="n"/>
    </row>
    <row r="19">
      <c r="A19" s="5" t="inlineStr">
        <is>
          <t>ORD007</t>
        </is>
      </c>
      <c r="B19" s="5" t="inlineStr">
        <is>
          <t>2026-01-28</t>
        </is>
      </c>
      <c r="C19" s="5" t="inlineStr">
        <is>
          <t>Vijay</t>
        </is>
      </c>
      <c r="D19" s="5" t="inlineStr">
        <is>
          <t>Sales</t>
        </is>
      </c>
      <c r="E19" s="5" t="inlineStr">
        <is>
          <t>Tablet</t>
        </is>
      </c>
      <c r="F19" s="5" t="inlineStr">
        <is>
          <t>Chennai</t>
        </is>
      </c>
      <c r="G19" s="5" t="n">
        <v>3</v>
      </c>
      <c r="H19" s="7" t="n">
        <v>28000</v>
      </c>
      <c r="I19" s="8" t="n">
        <v>0.06</v>
      </c>
      <c r="J19" s="9">
        <f>G19*H19</f>
        <v/>
      </c>
      <c r="K19" s="9">
        <f>J19*I19</f>
        <v/>
      </c>
      <c r="L19" s="9">
        <f>J19-K19</f>
        <v/>
      </c>
      <c r="M19" s="7" t="n">
        <v>75000</v>
      </c>
      <c r="N19" s="10">
        <f>IFERROR(L19/M19,0)</f>
        <v/>
      </c>
      <c r="O19" s="2" t="n"/>
      <c r="P19" s="5" t="inlineStr">
        <is>
          <t>Sales from Sales Dept</t>
        </is>
      </c>
      <c r="Q19" s="7">
        <f>SUMIF(D13:D37,"Sales",L13:L37)</f>
        <v/>
      </c>
      <c r="R19" s="11" t="inlineStr">
        <is>
          <t>Verify with SUMIF</t>
        </is>
      </c>
      <c r="S19" s="5" t="inlineStr">
        <is>
          <t>Evaluate Formula</t>
        </is>
      </c>
      <c r="T19" s="2" t="n"/>
    </row>
    <row r="20">
      <c r="A20" s="5" t="inlineStr">
        <is>
          <t>ORD008</t>
        </is>
      </c>
      <c r="B20" s="5" t="inlineStr">
        <is>
          <t>2026-02-02</t>
        </is>
      </c>
      <c r="C20" s="5" t="inlineStr">
        <is>
          <t>Sneha</t>
        </is>
      </c>
      <c r="D20" s="5" t="inlineStr">
        <is>
          <t>Marketing</t>
        </is>
      </c>
      <c r="E20" s="5" t="inlineStr">
        <is>
          <t>Webcam</t>
        </is>
      </c>
      <c r="F20" s="5" t="inlineStr">
        <is>
          <t>Hyderabad</t>
        </is>
      </c>
      <c r="G20" s="5" t="n">
        <v>7</v>
      </c>
      <c r="H20" s="7" t="n">
        <v>4500</v>
      </c>
      <c r="I20" s="8" t="n">
        <v>0.03</v>
      </c>
      <c r="J20" s="9">
        <f>G20*H20</f>
        <v/>
      </c>
      <c r="K20" s="9">
        <f>J20*I20</f>
        <v/>
      </c>
      <c r="L20" s="9">
        <f>J20-K20</f>
        <v/>
      </c>
      <c r="M20" s="7" t="n">
        <v>30000</v>
      </c>
      <c r="N20" s="10">
        <f>IFERROR(L20/M20,0)</f>
        <v/>
      </c>
      <c r="O20" s="2" t="n"/>
      <c r="P20" s="5" t="inlineStr">
        <is>
          <t>Orders above 100000</t>
        </is>
      </c>
      <c r="Q20" s="7">
        <f>COUNTIF(L13:L37,"&gt;100000")</f>
        <v/>
      </c>
      <c r="R20" s="11" t="inlineStr">
        <is>
          <t>Verify with COUNTIF</t>
        </is>
      </c>
      <c r="S20" s="5" t="inlineStr">
        <is>
          <t>Evaluate Formula</t>
        </is>
      </c>
      <c r="T20" s="2" t="n"/>
    </row>
    <row r="21">
      <c r="A21" s="5" t="inlineStr">
        <is>
          <t>ORD009</t>
        </is>
      </c>
      <c r="B21" s="5" t="inlineStr">
        <is>
          <t>2026-02-06</t>
        </is>
      </c>
      <c r="C21" s="5" t="inlineStr">
        <is>
          <t>Suresh</t>
        </is>
      </c>
      <c r="D21" s="5" t="inlineStr">
        <is>
          <t>Sales</t>
        </is>
      </c>
      <c r="E21" s="5" t="inlineStr">
        <is>
          <t>Laptop</t>
        </is>
      </c>
      <c r="F21" s="5" t="inlineStr">
        <is>
          <t>Chennai</t>
        </is>
      </c>
      <c r="G21" s="5" t="n">
        <v>5</v>
      </c>
      <c r="H21" s="7" t="n">
        <v>55000</v>
      </c>
      <c r="I21" s="8" t="n">
        <v>0.07000000000000001</v>
      </c>
      <c r="J21" s="9">
        <f>G21*H21</f>
        <v/>
      </c>
      <c r="K21" s="9">
        <f>J21*I21</f>
        <v/>
      </c>
      <c r="L21" s="9">
        <f>J21-K21</f>
        <v/>
      </c>
      <c r="M21" s="7" t="n">
        <v>110000</v>
      </c>
      <c r="N21" s="10">
        <f>IFERROR(L21/M21,0)</f>
        <v/>
      </c>
      <c r="O21" s="2" t="n"/>
      <c r="P21" s="5" t="inlineStr">
        <is>
          <t>Average Achievement</t>
        </is>
      </c>
      <c r="Q21" s="7">
        <f>AVERAGE(N13:N37)</f>
        <v/>
      </c>
      <c r="R21" s="11" t="inlineStr">
        <is>
          <t>Verify with AVERAGE</t>
        </is>
      </c>
      <c r="S21" s="5" t="inlineStr">
        <is>
          <t>Trace Precedents</t>
        </is>
      </c>
      <c r="T21" s="2" t="n"/>
    </row>
    <row r="22">
      <c r="A22" s="5" t="inlineStr">
        <is>
          <t>ORD010</t>
        </is>
      </c>
      <c r="B22" s="5" t="inlineStr">
        <is>
          <t>2026-02-10</t>
        </is>
      </c>
      <c r="C22" s="5" t="inlineStr">
        <is>
          <t>Keerthi</t>
        </is>
      </c>
      <c r="D22" s="5" t="inlineStr">
        <is>
          <t>Sales</t>
        </is>
      </c>
      <c r="E22" s="5" t="inlineStr">
        <is>
          <t>Printer</t>
        </is>
      </c>
      <c r="F22" s="5" t="inlineStr">
        <is>
          <t>Bangalore</t>
        </is>
      </c>
      <c r="G22" s="5" t="n">
        <v>6</v>
      </c>
      <c r="H22" s="7" t="n">
        <v>15000</v>
      </c>
      <c r="I22" s="8" t="n">
        <v>0.04</v>
      </c>
      <c r="J22" s="9">
        <f>G22*H22</f>
        <v/>
      </c>
      <c r="K22" s="9">
        <f>J22*I22</f>
        <v/>
      </c>
      <c r="L22" s="9">
        <f>J22-K22</f>
        <v/>
      </c>
      <c r="M22" s="7" t="n">
        <v>80000</v>
      </c>
      <c r="N22" s="10">
        <f>IFERROR(L22/M22,0)</f>
        <v/>
      </c>
      <c r="O22" s="2" t="n"/>
      <c r="P22" s="2" t="n"/>
      <c r="Q22" s="2" t="n"/>
      <c r="R22" s="2" t="n"/>
      <c r="S22" s="2" t="n"/>
      <c r="T22" s="2" t="n"/>
    </row>
    <row r="23">
      <c r="A23" s="5" t="inlineStr">
        <is>
          <t>ORD011</t>
        </is>
      </c>
      <c r="B23" s="5" t="inlineStr">
        <is>
          <t>2026-02-14</t>
        </is>
      </c>
      <c r="C23" s="5" t="inlineStr">
        <is>
          <t>Dinesh</t>
        </is>
      </c>
      <c r="D23" s="5" t="inlineStr">
        <is>
          <t>Finance</t>
        </is>
      </c>
      <c r="E23" s="5" t="inlineStr">
        <is>
          <t>Monitor</t>
        </is>
      </c>
      <c r="F23" s="5" t="inlineStr">
        <is>
          <t>Chennai</t>
        </is>
      </c>
      <c r="G23" s="5" t="n">
        <v>7</v>
      </c>
      <c r="H23" s="7" t="n">
        <v>18000</v>
      </c>
      <c r="I23" s="8" t="n">
        <v>0.02</v>
      </c>
      <c r="J23" s="9">
        <f>G23*H23</f>
        <v/>
      </c>
      <c r="K23" s="9">
        <f>J23*I23</f>
        <v/>
      </c>
      <c r="L23" s="9">
        <f>J23-K23</f>
        <v/>
      </c>
      <c r="M23" s="7" t="n">
        <v>95000</v>
      </c>
      <c r="N23" s="10">
        <f>IFERROR(L23/M23,0)</f>
        <v/>
      </c>
      <c r="O23" s="2" t="n"/>
      <c r="P23" s="2" t="n"/>
      <c r="Q23" s="2" t="n"/>
      <c r="R23" s="2" t="n"/>
      <c r="S23" s="2" t="n"/>
      <c r="T23" s="2" t="n"/>
    </row>
    <row r="24">
      <c r="A24" s="5" t="inlineStr">
        <is>
          <t>ORD012</t>
        </is>
      </c>
      <c r="B24" s="5" t="inlineStr">
        <is>
          <t>2026-02-18</t>
        </is>
      </c>
      <c r="C24" s="5" t="inlineStr">
        <is>
          <t>Pooja</t>
        </is>
      </c>
      <c r="D24" s="5" t="inlineStr">
        <is>
          <t>Sales</t>
        </is>
      </c>
      <c r="E24" s="5" t="inlineStr">
        <is>
          <t>Laptop</t>
        </is>
      </c>
      <c r="F24" s="5" t="inlineStr">
        <is>
          <t>Hyderabad</t>
        </is>
      </c>
      <c r="G24" s="5" t="n">
        <v>3</v>
      </c>
      <c r="H24" s="7" t="n">
        <v>55000</v>
      </c>
      <c r="I24" s="8" t="n">
        <v>0.05</v>
      </c>
      <c r="J24" s="9">
        <f>G24*H24</f>
        <v/>
      </c>
      <c r="K24" s="9">
        <f>J24*I24</f>
        <v/>
      </c>
      <c r="L24" s="9">
        <f>J24-K24</f>
        <v/>
      </c>
      <c r="M24" s="7" t="n">
        <v>80000</v>
      </c>
      <c r="N24" s="10">
        <f>IFERROR(L24/M24,0)</f>
        <v/>
      </c>
      <c r="O24" s="2" t="n"/>
      <c r="P24" s="2" t="n"/>
      <c r="Q24" s="2" t="n"/>
      <c r="R24" s="2" t="n"/>
      <c r="S24" s="2" t="n"/>
      <c r="T24" s="2" t="n"/>
    </row>
    <row r="25">
      <c r="A25" s="5" t="inlineStr">
        <is>
          <t>ORD013</t>
        </is>
      </c>
      <c r="B25" s="5" t="inlineStr">
        <is>
          <t>2026-02-22</t>
        </is>
      </c>
      <c r="C25" s="5" t="inlineStr">
        <is>
          <t>Manoj</t>
        </is>
      </c>
      <c r="D25" s="5" t="inlineStr">
        <is>
          <t>Sales</t>
        </is>
      </c>
      <c r="E25" s="5" t="inlineStr">
        <is>
          <t>Keyboard</t>
        </is>
      </c>
      <c r="F25" s="5" t="inlineStr">
        <is>
          <t>Bangalore</t>
        </is>
      </c>
      <c r="G25" s="5" t="n">
        <v>12</v>
      </c>
      <c r="H25" s="7" t="n">
        <v>2500</v>
      </c>
      <c r="I25" s="8" t="n">
        <v>0.02</v>
      </c>
      <c r="J25" s="9">
        <f>G25*H25</f>
        <v/>
      </c>
      <c r="K25" s="9">
        <f>J25*I25</f>
        <v/>
      </c>
      <c r="L25" s="9">
        <f>J25-K25</f>
        <v/>
      </c>
      <c r="M25" s="7" t="n">
        <v>30000</v>
      </c>
      <c r="N25" s="10">
        <f>IFERROR(L25/M25,0)</f>
        <v/>
      </c>
      <c r="O25" s="2" t="n"/>
      <c r="P25" s="2" t="n"/>
      <c r="Q25" s="2" t="n"/>
      <c r="R25" s="2" t="n"/>
      <c r="S25" s="2" t="n"/>
      <c r="T25" s="2" t="n"/>
    </row>
    <row r="26">
      <c r="A26" s="5" t="inlineStr">
        <is>
          <t>ORD014</t>
        </is>
      </c>
      <c r="B26" s="5" t="inlineStr">
        <is>
          <t>2026-02-25</t>
        </is>
      </c>
      <c r="C26" s="5" t="inlineStr">
        <is>
          <t>Harini</t>
        </is>
      </c>
      <c r="D26" s="5" t="inlineStr">
        <is>
          <t>Sales</t>
        </is>
      </c>
      <c r="E26" s="5" t="inlineStr">
        <is>
          <t>Tablet</t>
        </is>
      </c>
      <c r="F26" s="5" t="inlineStr">
        <is>
          <t>Chennai</t>
        </is>
      </c>
      <c r="G26" s="5" t="n">
        <v>5</v>
      </c>
      <c r="H26" s="7" t="n">
        <v>28000</v>
      </c>
      <c r="I26" s="8" t="n">
        <v>0.04</v>
      </c>
      <c r="J26" s="9">
        <f>G26*H26</f>
        <v/>
      </c>
      <c r="K26" s="9">
        <f>J26*I26</f>
        <v/>
      </c>
      <c r="L26" s="9">
        <f>J26-K26</f>
        <v/>
      </c>
      <c r="M26" s="7" t="n">
        <v>100000</v>
      </c>
      <c r="N26" s="10">
        <f>IFERROR(L26/M26,0)</f>
        <v/>
      </c>
      <c r="O26" s="2" t="n"/>
      <c r="P26" s="2" t="n"/>
      <c r="Q26" s="2" t="n"/>
      <c r="R26" s="2" t="n"/>
      <c r="S26" s="2" t="n"/>
      <c r="T26" s="2" t="n"/>
    </row>
    <row r="27">
      <c r="A27" s="5" t="inlineStr">
        <is>
          <t>ORD015</t>
        </is>
      </c>
      <c r="B27" s="5" t="inlineStr">
        <is>
          <t>2026-03-01</t>
        </is>
      </c>
      <c r="C27" s="5" t="inlineStr">
        <is>
          <t>Sanjay</t>
        </is>
      </c>
      <c r="D27" s="5" t="inlineStr">
        <is>
          <t>Sales</t>
        </is>
      </c>
      <c r="E27" s="5" t="inlineStr">
        <is>
          <t>Monitor</t>
        </is>
      </c>
      <c r="F27" s="5" t="inlineStr">
        <is>
          <t>Bangalore</t>
        </is>
      </c>
      <c r="G27" s="5" t="n">
        <v>8</v>
      </c>
      <c r="H27" s="7" t="n">
        <v>18000</v>
      </c>
      <c r="I27" s="8" t="n">
        <v>0.03</v>
      </c>
      <c r="J27" s="9">
        <f>G27*H27</f>
        <v/>
      </c>
      <c r="K27" s="9">
        <f>J27*I27</f>
        <v/>
      </c>
      <c r="L27" s="9">
        <f>J27-K27</f>
        <v/>
      </c>
      <c r="M27" s="7" t="n">
        <v>110000</v>
      </c>
      <c r="N27" s="10">
        <f>IFERROR(L27/M27,0)</f>
        <v/>
      </c>
      <c r="O27" s="2" t="n"/>
      <c r="P27" s="2" t="n"/>
      <c r="Q27" s="2" t="n"/>
      <c r="R27" s="2" t="n"/>
      <c r="S27" s="2" t="n"/>
      <c r="T27" s="2" t="n"/>
    </row>
    <row r="28">
      <c r="A28" s="5" t="inlineStr">
        <is>
          <t>ORD016</t>
        </is>
      </c>
      <c r="B28" s="5" t="inlineStr">
        <is>
          <t>2026-03-05</t>
        </is>
      </c>
      <c r="C28" s="5" t="inlineStr">
        <is>
          <t>Aishwarya</t>
        </is>
      </c>
      <c r="D28" s="5" t="inlineStr">
        <is>
          <t>Sales</t>
        </is>
      </c>
      <c r="E28" s="5" t="inlineStr">
        <is>
          <t>Laptop</t>
        </is>
      </c>
      <c r="F28" s="5" t="inlineStr">
        <is>
          <t>Hyderabad</t>
        </is>
      </c>
      <c r="G28" s="5" t="n">
        <v>6</v>
      </c>
      <c r="H28" s="7" t="n">
        <v>55000</v>
      </c>
      <c r="I28" s="8" t="n">
        <v>0.06</v>
      </c>
      <c r="J28" s="9">
        <f>G28*H28</f>
        <v/>
      </c>
      <c r="K28" s="9">
        <f>J28*I28</f>
        <v/>
      </c>
      <c r="L28" s="9">
        <f>J28-K28</f>
        <v/>
      </c>
      <c r="M28" s="7" t="n">
        <v>130000</v>
      </c>
      <c r="N28" s="10">
        <f>IFERROR(L28/M28,0)</f>
        <v/>
      </c>
      <c r="O28" s="2" t="n"/>
      <c r="P28" s="2" t="n"/>
      <c r="Q28" s="2" t="n"/>
      <c r="R28" s="2" t="n"/>
      <c r="S28" s="2" t="n"/>
      <c r="T28" s="2" t="n"/>
    </row>
    <row r="29">
      <c r="A29" s="5" t="inlineStr">
        <is>
          <t>ORD017</t>
        </is>
      </c>
      <c r="B29" s="5" t="inlineStr">
        <is>
          <t>2026-03-09</t>
        </is>
      </c>
      <c r="C29" s="5" t="inlineStr">
        <is>
          <t>Praveen</t>
        </is>
      </c>
      <c r="D29" s="5" t="inlineStr">
        <is>
          <t>Marketing</t>
        </is>
      </c>
      <c r="E29" s="5" t="inlineStr">
        <is>
          <t>Webcam</t>
        </is>
      </c>
      <c r="F29" s="5" t="inlineStr">
        <is>
          <t>Chennai</t>
        </is>
      </c>
      <c r="G29" s="5" t="n">
        <v>10</v>
      </c>
      <c r="H29" s="7" t="n">
        <v>4500</v>
      </c>
      <c r="I29" s="8" t="n">
        <v>0.02</v>
      </c>
      <c r="J29" s="9">
        <f>G29*H29</f>
        <v/>
      </c>
      <c r="K29" s="9">
        <f>J29*I29</f>
        <v/>
      </c>
      <c r="L29" s="9">
        <f>J29-K29</f>
        <v/>
      </c>
      <c r="M29" s="7" t="n">
        <v>40000</v>
      </c>
      <c r="N29" s="10">
        <f>IFERROR(L29/M29,0)</f>
        <v/>
      </c>
      <c r="O29" s="2" t="n"/>
      <c r="P29" s="2" t="n"/>
      <c r="Q29" s="2" t="n"/>
      <c r="R29" s="2" t="n"/>
      <c r="S29" s="2" t="n"/>
      <c r="T29" s="2" t="n"/>
    </row>
    <row r="30">
      <c r="A30" s="5" t="inlineStr">
        <is>
          <t>ORD018</t>
        </is>
      </c>
      <c r="B30" s="5" t="inlineStr">
        <is>
          <t>2026-03-13</t>
        </is>
      </c>
      <c r="C30" s="5" t="inlineStr">
        <is>
          <t>Nandhini</t>
        </is>
      </c>
      <c r="D30" s="5" t="inlineStr">
        <is>
          <t>Sales</t>
        </is>
      </c>
      <c r="E30" s="5" t="inlineStr">
        <is>
          <t>Printer</t>
        </is>
      </c>
      <c r="F30" s="5" t="inlineStr">
        <is>
          <t>Bangalore</t>
        </is>
      </c>
      <c r="G30" s="5" t="n">
        <v>9</v>
      </c>
      <c r="H30" s="7" t="n">
        <v>15000</v>
      </c>
      <c r="I30" s="8" t="n">
        <v>0.05</v>
      </c>
      <c r="J30" s="9">
        <f>G30*H30</f>
        <v/>
      </c>
      <c r="K30" s="9">
        <f>J30*I30</f>
        <v/>
      </c>
      <c r="L30" s="9">
        <f>J30-K30</f>
        <v/>
      </c>
      <c r="M30" s="7" t="n">
        <v>100000</v>
      </c>
      <c r="N30" s="10">
        <f>IFERROR(L30/M30,0)</f>
        <v/>
      </c>
      <c r="O30" s="2" t="n"/>
      <c r="P30" s="2" t="n"/>
      <c r="Q30" s="2" t="n"/>
      <c r="R30" s="2" t="n"/>
      <c r="S30" s="2" t="n"/>
      <c r="T30" s="2" t="n"/>
    </row>
    <row r="31">
      <c r="A31" s="5" t="inlineStr">
        <is>
          <t>ORD019</t>
        </is>
      </c>
      <c r="B31" s="5" t="inlineStr">
        <is>
          <t>2026-03-18</t>
        </is>
      </c>
      <c r="C31" s="5" t="inlineStr">
        <is>
          <t>Gokul</t>
        </is>
      </c>
      <c r="D31" s="5" t="inlineStr">
        <is>
          <t>Sales</t>
        </is>
      </c>
      <c r="E31" s="5" t="inlineStr">
        <is>
          <t>Tablet</t>
        </is>
      </c>
      <c r="F31" s="5" t="inlineStr">
        <is>
          <t>Hyderabad</t>
        </is>
      </c>
      <c r="G31" s="5" t="n">
        <v>4</v>
      </c>
      <c r="H31" s="7" t="n">
        <v>28000</v>
      </c>
      <c r="I31" s="8" t="n">
        <v>0.03</v>
      </c>
      <c r="J31" s="9">
        <f>G31*H31</f>
        <v/>
      </c>
      <c r="K31" s="9">
        <f>J31*I31</f>
        <v/>
      </c>
      <c r="L31" s="9">
        <f>J31-K31</f>
        <v/>
      </c>
      <c r="M31" s="7" t="n">
        <v>85000</v>
      </c>
      <c r="N31" s="10">
        <f>IFERROR(L31/M31,0)</f>
        <v/>
      </c>
      <c r="O31" s="2" t="n"/>
      <c r="P31" s="2" t="n"/>
      <c r="Q31" s="2" t="n"/>
      <c r="R31" s="2" t="n"/>
      <c r="S31" s="2" t="n"/>
      <c r="T31" s="2" t="n"/>
    </row>
    <row r="32">
      <c r="A32" s="5" t="inlineStr">
        <is>
          <t>ORD020</t>
        </is>
      </c>
      <c r="B32" s="5" t="inlineStr">
        <is>
          <t>2026-03-22</t>
        </is>
      </c>
      <c r="C32" s="5" t="inlineStr">
        <is>
          <t>Swetha</t>
        </is>
      </c>
      <c r="D32" s="5" t="inlineStr">
        <is>
          <t>Finance</t>
        </is>
      </c>
      <c r="E32" s="5" t="inlineStr">
        <is>
          <t>Keyboard</t>
        </is>
      </c>
      <c r="F32" s="5" t="inlineStr">
        <is>
          <t>Chennai</t>
        </is>
      </c>
      <c r="G32" s="5" t="n">
        <v>15</v>
      </c>
      <c r="H32" s="7" t="n">
        <v>2500</v>
      </c>
      <c r="I32" s="8" t="n">
        <v>0.01</v>
      </c>
      <c r="J32" s="9">
        <f>G32*H32</f>
        <v/>
      </c>
      <c r="K32" s="9">
        <f>J32*I32</f>
        <v/>
      </c>
      <c r="L32" s="9">
        <f>J32-K32</f>
        <v/>
      </c>
      <c r="M32" s="7" t="n">
        <v>30000</v>
      </c>
      <c r="N32" s="10">
        <f>IFERROR(L32/M32,0)</f>
        <v/>
      </c>
      <c r="O32" s="2" t="n"/>
      <c r="P32" s="2" t="n"/>
      <c r="Q32" s="2" t="n"/>
      <c r="R32" s="2" t="n"/>
      <c r="S32" s="2" t="n"/>
      <c r="T32" s="2" t="n"/>
    </row>
    <row r="33">
      <c r="A33" s="5" t="inlineStr">
        <is>
          <t>ORD021</t>
        </is>
      </c>
      <c r="B33" s="5" t="inlineStr">
        <is>
          <t>2026-03-26</t>
        </is>
      </c>
      <c r="C33" s="5" t="inlineStr">
        <is>
          <t>Arun</t>
        </is>
      </c>
      <c r="D33" s="5" t="inlineStr">
        <is>
          <t>Sales</t>
        </is>
      </c>
      <c r="E33" s="5" t="inlineStr">
        <is>
          <t>Laptop</t>
        </is>
      </c>
      <c r="F33" s="5" t="inlineStr">
        <is>
          <t>Chennai</t>
        </is>
      </c>
      <c r="G33" s="5" t="n">
        <v>2</v>
      </c>
      <c r="H33" s="7" t="n">
        <v>55000</v>
      </c>
      <c r="I33" s="8" t="n">
        <v>0.04</v>
      </c>
      <c r="J33" s="9">
        <f>G33*H33</f>
        <v/>
      </c>
      <c r="K33" s="9">
        <f>J33*I33</f>
        <v/>
      </c>
      <c r="L33" s="9">
        <f>J33-K33</f>
        <v/>
      </c>
      <c r="M33" s="7" t="n">
        <v>60000</v>
      </c>
      <c r="N33" s="10">
        <f>IFERROR(L33/M33,0)</f>
        <v/>
      </c>
      <c r="O33" s="2" t="n"/>
      <c r="P33" s="2" t="n"/>
      <c r="Q33" s="2" t="n"/>
      <c r="R33" s="2" t="n"/>
      <c r="S33" s="2" t="n"/>
      <c r="T33" s="2" t="n"/>
    </row>
    <row r="34">
      <c r="A34" s="5" t="inlineStr">
        <is>
          <t>ORD022</t>
        </is>
      </c>
      <c r="B34" s="5" t="inlineStr">
        <is>
          <t>2026-04-02</t>
        </is>
      </c>
      <c r="C34" s="5" t="inlineStr">
        <is>
          <t>Priya</t>
        </is>
      </c>
      <c r="D34" s="5" t="inlineStr">
        <is>
          <t>Sales</t>
        </is>
      </c>
      <c r="E34" s="5" t="inlineStr">
        <is>
          <t>Monitor</t>
        </is>
      </c>
      <c r="F34" s="5" t="inlineStr">
        <is>
          <t>Bangalore</t>
        </is>
      </c>
      <c r="G34" s="5" t="n">
        <v>9</v>
      </c>
      <c r="H34" s="7" t="n">
        <v>18000</v>
      </c>
      <c r="I34" s="8" t="n">
        <v>0.05</v>
      </c>
      <c r="J34" s="9">
        <f>G34*H34</f>
        <v/>
      </c>
      <c r="K34" s="9">
        <f>J34*I34</f>
        <v/>
      </c>
      <c r="L34" s="9">
        <f>J34-K34</f>
        <v/>
      </c>
      <c r="M34" s="7" t="n">
        <v>120000</v>
      </c>
      <c r="N34" s="10">
        <f>IFERROR(L34/M34,0)</f>
        <v/>
      </c>
      <c r="O34" s="2" t="n"/>
      <c r="P34" s="2" t="n"/>
      <c r="Q34" s="2" t="n"/>
      <c r="R34" s="2" t="n"/>
      <c r="S34" s="2" t="n"/>
      <c r="T34" s="2" t="n"/>
    </row>
    <row r="35">
      <c r="A35" s="5" t="inlineStr">
        <is>
          <t>ORD023</t>
        </is>
      </c>
      <c r="B35" s="5" t="inlineStr">
        <is>
          <t>2026-04-07</t>
        </is>
      </c>
      <c r="C35" s="5" t="inlineStr">
        <is>
          <t>Rahul</t>
        </is>
      </c>
      <c r="D35" s="5" t="inlineStr">
        <is>
          <t>Sales</t>
        </is>
      </c>
      <c r="E35" s="5" t="inlineStr">
        <is>
          <t>Keyboard</t>
        </is>
      </c>
      <c r="F35" s="5" t="inlineStr">
        <is>
          <t>Chennai</t>
        </is>
      </c>
      <c r="G35" s="5" t="n">
        <v>20</v>
      </c>
      <c r="H35" s="7" t="n">
        <v>2500</v>
      </c>
      <c r="I35" s="8" t="n">
        <v>0.02</v>
      </c>
      <c r="J35" s="9">
        <f>G35*H35</f>
        <v/>
      </c>
      <c r="K35" s="9">
        <f>J35*I35</f>
        <v/>
      </c>
      <c r="L35" s="9">
        <f>J35-K35</f>
        <v/>
      </c>
      <c r="M35" s="7" t="n">
        <v>45000</v>
      </c>
      <c r="N35" s="10">
        <f>IFERROR(L35/M35,0)</f>
        <v/>
      </c>
      <c r="O35" s="2" t="n"/>
      <c r="P35" s="2" t="n"/>
      <c r="Q35" s="2" t="n"/>
      <c r="R35" s="2" t="n"/>
      <c r="S35" s="2" t="n"/>
      <c r="T35" s="2" t="n"/>
    </row>
    <row r="36">
      <c r="A36" s="5" t="inlineStr">
        <is>
          <t>ORD024</t>
        </is>
      </c>
      <c r="B36" s="5" t="inlineStr">
        <is>
          <t>2026-04-12</t>
        </is>
      </c>
      <c r="C36" s="5" t="inlineStr">
        <is>
          <t>Divya</t>
        </is>
      </c>
      <c r="D36" s="5" t="inlineStr">
        <is>
          <t>Sales</t>
        </is>
      </c>
      <c r="E36" s="5" t="inlineStr">
        <is>
          <t>Laptop</t>
        </is>
      </c>
      <c r="F36" s="5" t="inlineStr">
        <is>
          <t>Hyderabad</t>
        </is>
      </c>
      <c r="G36" s="5" t="n">
        <v>5</v>
      </c>
      <c r="H36" s="7" t="n">
        <v>55000</v>
      </c>
      <c r="I36" s="8" t="n">
        <v>0.07000000000000001</v>
      </c>
      <c r="J36" s="9">
        <f>G36*H36</f>
        <v/>
      </c>
      <c r="K36" s="9">
        <f>J36*I36</f>
        <v/>
      </c>
      <c r="L36" s="9">
        <f>J36-K36</f>
        <v/>
      </c>
      <c r="M36" s="7" t="n">
        <v>120000</v>
      </c>
      <c r="N36" s="10">
        <f>IFERROR(L36/M36,0)</f>
        <v/>
      </c>
      <c r="O36" s="2" t="n"/>
      <c r="P36" s="2" t="n"/>
      <c r="Q36" s="2" t="n"/>
      <c r="R36" s="2" t="n"/>
      <c r="S36" s="2" t="n"/>
      <c r="T36" s="2" t="n"/>
    </row>
    <row r="37">
      <c r="A37" s="5" t="inlineStr">
        <is>
          <t>ORD025</t>
        </is>
      </c>
      <c r="B37" s="5" t="inlineStr">
        <is>
          <t>2026-04-18</t>
        </is>
      </c>
      <c r="C37" s="5" t="inlineStr">
        <is>
          <t>Karthik</t>
        </is>
      </c>
      <c r="D37" s="5" t="inlineStr">
        <is>
          <t>Finance</t>
        </is>
      </c>
      <c r="E37" s="5" t="inlineStr">
        <is>
          <t>Printer</t>
        </is>
      </c>
      <c r="F37" s="5" t="inlineStr">
        <is>
          <t>Chennai</t>
        </is>
      </c>
      <c r="G37" s="5" t="n">
        <v>6</v>
      </c>
      <c r="H37" s="7" t="n">
        <v>15000</v>
      </c>
      <c r="I37" s="8" t="n">
        <v>0.03</v>
      </c>
      <c r="J37" s="9">
        <f>G37*H37</f>
        <v/>
      </c>
      <c r="K37" s="9">
        <f>J37*I37</f>
        <v/>
      </c>
      <c r="L37" s="9">
        <f>J37-K37</f>
        <v/>
      </c>
      <c r="M37" s="7" t="n">
        <v>85000</v>
      </c>
      <c r="N37" s="10">
        <f>IFERROR(L37/M37,0)</f>
        <v/>
      </c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6" t="inlineStr">
        <is>
          <t>Formula Auditing Practice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3" t="inlineStr">
        <is>
          <t>Task</t>
        </is>
      </c>
      <c r="B42" s="3" t="inlineStr">
        <is>
          <t>Select Cell</t>
        </is>
      </c>
      <c r="C42" s="3" t="inlineStr">
        <is>
          <t>Tool</t>
        </is>
      </c>
      <c r="D42" s="3" t="inlineStr">
        <is>
          <t>What To Observe</t>
        </is>
      </c>
      <c r="E42" s="3" t="inlineStr">
        <is>
          <t>Student Notes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5" t="inlineStr">
        <is>
          <t>Find what cells calculate Net Sales</t>
        </is>
      </c>
      <c r="B43" s="5" t="inlineStr">
        <is>
          <t>L13</t>
        </is>
      </c>
      <c r="C43" s="5" t="inlineStr">
        <is>
          <t>Trace Precedents</t>
        </is>
      </c>
      <c r="D43" s="5" t="inlineStr">
        <is>
          <t>G13, H13, I13, J13, K13 feed into the result</t>
        </is>
      </c>
      <c r="E43" s="1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5" t="inlineStr">
        <is>
          <t>Find what cells use Net Sales</t>
        </is>
      </c>
      <c r="B44" s="5" t="inlineStr">
        <is>
          <t>L13</t>
        </is>
      </c>
      <c r="C44" s="5" t="inlineStr">
        <is>
          <t>Trace Dependents</t>
        </is>
      </c>
      <c r="D44" s="5" t="inlineStr">
        <is>
          <t>Other calculations/analysis may depend on L13</t>
        </is>
      </c>
      <c r="E44" s="1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5" t="inlineStr">
        <is>
          <t>Step through Achievement %</t>
        </is>
      </c>
      <c r="B45" s="5" t="inlineStr">
        <is>
          <t>N13</t>
        </is>
      </c>
      <c r="C45" s="5" t="inlineStr">
        <is>
          <t>Evaluate Formula</t>
        </is>
      </c>
      <c r="D45" s="5" t="inlineStr">
        <is>
          <t>Watch L13/M13 calculation</t>
        </is>
      </c>
      <c r="E45" s="1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5" t="inlineStr">
        <is>
          <t>Trace Total Net Sales</t>
        </is>
      </c>
      <c r="B46" s="5" t="inlineStr">
        <is>
          <t>Q13</t>
        </is>
      </c>
      <c r="C46" s="5" t="inlineStr">
        <is>
          <t>Trace Precedents</t>
        </is>
      </c>
      <c r="D46" s="5" t="inlineStr">
        <is>
          <t>Range L13:L37 is used</t>
        </is>
      </c>
      <c r="E46" s="1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5" t="inlineStr">
        <is>
          <t>Trace Chennai Sales</t>
        </is>
      </c>
      <c r="B47" s="5" t="inlineStr">
        <is>
          <t>Q18</t>
        </is>
      </c>
      <c r="C47" s="5" t="inlineStr">
        <is>
          <t>Evaluate Formula</t>
        </is>
      </c>
      <c r="D47" s="5" t="inlineStr">
        <is>
          <t>Follow SUMIF criteria and sum range</t>
        </is>
      </c>
      <c r="E47" s="1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5" t="inlineStr">
        <is>
          <t>Audit Average Achievement</t>
        </is>
      </c>
      <c r="B48" s="5" t="inlineStr">
        <is>
          <t>Q21</t>
        </is>
      </c>
      <c r="C48" s="5" t="inlineStr">
        <is>
          <t>Trace Precedents</t>
        </is>
      </c>
      <c r="D48" s="5" t="inlineStr">
        <is>
          <t>N13:N37 is used</t>
        </is>
      </c>
      <c r="E48" s="1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6" t="inlineStr">
        <is>
          <t>Find Errors Practice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3" t="inlineStr">
        <is>
          <t>Cell</t>
        </is>
      </c>
      <c r="B51" s="3" t="inlineStr">
        <is>
          <t>Problem</t>
        </is>
      </c>
      <c r="C51" s="3" t="inlineStr">
        <is>
          <t>Expected Error</t>
        </is>
      </c>
      <c r="D51" s="3" t="inlineStr">
        <is>
          <t>Your Fix</t>
        </is>
      </c>
      <c r="E51" s="3" t="inlineStr">
        <is>
          <t>Result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5" t="inlineStr">
        <is>
          <t>T13</t>
        </is>
      </c>
      <c r="B52" s="5" t="inlineStr">
        <is>
          <t>Divide 100 by 0</t>
        </is>
      </c>
      <c r="C52" s="5" t="e">
        <v>#DIV/0!</v>
      </c>
      <c r="D52" s="11" t="inlineStr">
        <is>
          <t>Use IFERROR</t>
        </is>
      </c>
      <c r="E52" s="11" t="inlineStr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5" t="inlineStr">
        <is>
          <t>T14</t>
        </is>
      </c>
      <c r="B53" s="5" t="inlineStr">
        <is>
          <t>Lookup a missing employee</t>
        </is>
      </c>
      <c r="C53" s="5" t="e">
        <v>#N/A</v>
      </c>
      <c r="D53" s="11" t="inlineStr">
        <is>
          <t>Use IFNA</t>
        </is>
      </c>
      <c r="E53" s="11" t="inlineStr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5" t="inlineStr">
        <is>
          <t>T15</t>
        </is>
      </c>
      <c r="B54" s="5" t="inlineStr">
        <is>
          <t>Use an invalid reference</t>
        </is>
      </c>
      <c r="C54" s="5" t="e">
        <v>#REF!</v>
      </c>
      <c r="D54" s="11" t="inlineStr">
        <is>
          <t>Repair reference</t>
        </is>
      </c>
      <c r="E54" s="11" t="inlineStr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5" t="inlineStr">
        <is>
          <t>T16</t>
        </is>
      </c>
      <c r="B55" s="5" t="inlineStr">
        <is>
          <t>Add text to a number incorrectly</t>
        </is>
      </c>
      <c r="C55" s="5" t="e">
        <v>#VALUE!</v>
      </c>
      <c r="D55" s="11" t="inlineStr">
        <is>
          <t>Correct data/formula</t>
        </is>
      </c>
      <c r="E55" s="11" t="inlineStr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5" t="inlineStr">
        <is>
          <t>T17</t>
        </is>
      </c>
      <c r="B56" s="5" t="inlineStr">
        <is>
          <t>Misspell a function name</t>
        </is>
      </c>
      <c r="C56" s="5" t="e">
        <v>#NAME?</v>
      </c>
      <c r="D56" s="11" t="inlineStr">
        <is>
          <t>Correct function</t>
        </is>
      </c>
      <c r="E56" s="11" t="inlineStr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6" t="inlineStr">
        <is>
          <t>Complete Business Dataset Challenge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3" t="inlineStr">
        <is>
          <t>Challenge</t>
        </is>
      </c>
      <c r="B61" s="3" t="inlineStr">
        <is>
          <t>Formula Needed</t>
        </is>
      </c>
      <c r="C61" s="3" t="inlineStr">
        <is>
          <t>Your Formula</t>
        </is>
      </c>
      <c r="D61" s="3" t="inlineStr">
        <is>
          <t>Result</t>
        </is>
      </c>
      <c r="E61" s="3" t="inlineStr">
        <is>
          <t>Audit Tool</t>
        </is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5" t="inlineStr">
        <is>
          <t>Calculate Revenue = Units × Unit Price</t>
        </is>
      </c>
      <c r="B62" s="5" t="inlineStr">
        <is>
          <t>Multiplication</t>
        </is>
      </c>
      <c r="C62" s="12" t="n"/>
      <c r="D62" s="12" t="n"/>
      <c r="E62" s="5" t="inlineStr">
        <is>
          <t>Trace Precedents</t>
        </is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5" t="inlineStr">
        <is>
          <t>Calculate Discount Amount</t>
        </is>
      </c>
      <c r="B63" s="5" t="inlineStr">
        <is>
          <t>Multiplication</t>
        </is>
      </c>
      <c r="C63" s="12" t="n"/>
      <c r="D63" s="12" t="n"/>
      <c r="E63" s="5" t="inlineStr">
        <is>
          <t>Trace Precedents</t>
        </is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5" t="inlineStr">
        <is>
          <t>Calculate Net Sales</t>
        </is>
      </c>
      <c r="B64" s="5" t="inlineStr">
        <is>
          <t>Subtraction</t>
        </is>
      </c>
      <c r="C64" s="12" t="n"/>
      <c r="D64" s="12" t="n"/>
      <c r="E64" s="5" t="inlineStr">
        <is>
          <t>Trace Precedents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5" t="inlineStr">
        <is>
          <t>Calculate Achievement % safely</t>
        </is>
      </c>
      <c r="B65" s="5" t="inlineStr">
        <is>
          <t>IFERROR</t>
        </is>
      </c>
      <c r="C65" s="12" t="n"/>
      <c r="D65" s="12" t="n"/>
      <c r="E65" s="5" t="inlineStr">
        <is>
          <t>Evaluate Formula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5" t="inlineStr">
        <is>
          <t>Find total Net Sales</t>
        </is>
      </c>
      <c r="B66" s="5" t="inlineStr">
        <is>
          <t>SUM</t>
        </is>
      </c>
      <c r="C66" s="12" t="n"/>
      <c r="D66" s="12" t="n"/>
      <c r="E66" s="5" t="inlineStr">
        <is>
          <t>Trace Precedents</t>
        </is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5" t="inlineStr">
        <is>
          <t>Find average Net Sales</t>
        </is>
      </c>
      <c r="B67" s="5" t="inlineStr">
        <is>
          <t>AVERAGE</t>
        </is>
      </c>
      <c r="C67" s="12" t="n"/>
      <c r="D67" s="12" t="n"/>
      <c r="E67" s="5" t="inlineStr">
        <is>
          <t>Trace Precedents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5" t="inlineStr">
        <is>
          <t>Find Chennai Net Sales</t>
        </is>
      </c>
      <c r="B68" s="5" t="inlineStr">
        <is>
          <t>SUMIF</t>
        </is>
      </c>
      <c r="C68" s="12" t="n"/>
      <c r="D68" s="12" t="n"/>
      <c r="E68" s="5" t="inlineStr">
        <is>
          <t>Evaluate Formula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5" t="inlineStr">
        <is>
          <t>Count orders above 100000</t>
        </is>
      </c>
      <c r="B69" s="5" t="inlineStr">
        <is>
          <t>COUNTIF</t>
        </is>
      </c>
      <c r="C69" s="12" t="n"/>
      <c r="D69" s="12" t="n"/>
      <c r="E69" s="5" t="inlineStr">
        <is>
          <t>Evaluate Formula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5" t="inlineStr">
        <is>
          <t>Find highest Net Sales</t>
        </is>
      </c>
      <c r="B70" s="5" t="inlineStr">
        <is>
          <t>MAX</t>
        </is>
      </c>
      <c r="C70" s="12" t="n"/>
      <c r="D70" s="12" t="n"/>
      <c r="E70" s="5" t="inlineStr">
        <is>
          <t>Trace Precedents</t>
        </is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5" t="inlineStr">
        <is>
          <t>Find average Achievement %</t>
        </is>
      </c>
      <c r="B71" s="5" t="inlineStr">
        <is>
          <t>AVERAGE</t>
        </is>
      </c>
      <c r="C71" s="12" t="n"/>
      <c r="D71" s="12" t="n"/>
      <c r="E71" s="5" t="inlineStr">
        <is>
          <t>Trace Precedents</t>
        </is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6" t="inlineStr">
        <is>
          <t>Final Audit Checklist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5" t="inlineStr">
        <is>
          <t>☐</t>
        </is>
      </c>
      <c r="B74" s="5" t="inlineStr">
        <is>
          <t>Check all formula cells for errors.</t>
        </is>
      </c>
      <c r="C74" s="2" t="n"/>
      <c r="D74" s="2" t="n"/>
      <c r="E74" s="2" t="n"/>
      <c r="F74" s="2" t="n"/>
      <c r="G74" s="1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5" t="inlineStr">
        <is>
          <t>☐</t>
        </is>
      </c>
      <c r="B75" s="5" t="inlineStr">
        <is>
          <t>Use Trace Precedents on a Net Sales cell.</t>
        </is>
      </c>
      <c r="C75" s="2" t="n"/>
      <c r="D75" s="2" t="n"/>
      <c r="E75" s="2" t="n"/>
      <c r="F75" s="2" t="n"/>
      <c r="G75" s="1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5" t="inlineStr">
        <is>
          <t>☐</t>
        </is>
      </c>
      <c r="B76" s="5" t="inlineStr">
        <is>
          <t>Use Trace Dependents on a Unit Price cell.</t>
        </is>
      </c>
      <c r="C76" s="2" t="n"/>
      <c r="D76" s="2" t="n"/>
      <c r="E76" s="2" t="n"/>
      <c r="F76" s="2" t="n"/>
      <c r="G76" s="1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5" t="inlineStr">
        <is>
          <t>☐</t>
        </is>
      </c>
      <c r="B77" s="5" t="inlineStr">
        <is>
          <t>Use Evaluate Formula on Achievement %.</t>
        </is>
      </c>
      <c r="C77" s="2" t="n"/>
      <c r="D77" s="2" t="n"/>
      <c r="E77" s="2" t="n"/>
      <c r="F77" s="2" t="n"/>
      <c r="G77" s="1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5" t="inlineStr">
        <is>
          <t>☐</t>
        </is>
      </c>
      <c r="B78" s="5" t="inlineStr">
        <is>
          <t>Use Find / Go To Special to locate formula errors.</t>
        </is>
      </c>
      <c r="C78" s="2" t="n"/>
      <c r="D78" s="2" t="n"/>
      <c r="E78" s="2" t="n"/>
      <c r="F78" s="2" t="n"/>
      <c r="G78" s="1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5" t="inlineStr">
        <is>
          <t>☐</t>
        </is>
      </c>
      <c r="B79" s="5" t="inlineStr">
        <is>
          <t>Verify total sales using an independent calculation.</t>
        </is>
      </c>
      <c r="C79" s="2" t="n"/>
      <c r="D79" s="2" t="n"/>
      <c r="E79" s="2" t="n"/>
      <c r="F79" s="2" t="n"/>
      <c r="G79" s="1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5" t="inlineStr">
        <is>
          <t>☐</t>
        </is>
      </c>
      <c r="B80" s="5" t="inlineStr">
        <is>
          <t>Verify at least one SUMIF result manually.</t>
        </is>
      </c>
      <c r="C80" s="2" t="n"/>
      <c r="D80" s="2" t="n"/>
      <c r="E80" s="2" t="n"/>
      <c r="F80" s="2" t="n"/>
      <c r="G80" s="1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5" t="inlineStr">
        <is>
          <t>☐</t>
        </is>
      </c>
      <c r="B81" s="5" t="inlineStr">
        <is>
          <t>Explain which cells feed into the final business KPI.</t>
        </is>
      </c>
      <c r="C81" s="2" t="n"/>
      <c r="D81" s="2" t="n"/>
      <c r="E81" s="2" t="n"/>
      <c r="F81" s="2" t="n"/>
      <c r="G81" s="1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</sheetData>
  <mergeCells count="15">
    <mergeCell ref="A1:N1"/>
    <mergeCell ref="B75:F75"/>
    <mergeCell ref="A41:I41"/>
    <mergeCell ref="B77:F77"/>
    <mergeCell ref="B78:F78"/>
    <mergeCell ref="B81:F81"/>
    <mergeCell ref="A73:H73"/>
    <mergeCell ref="B80:F80"/>
    <mergeCell ref="B76:F76"/>
    <mergeCell ref="A11:N11"/>
    <mergeCell ref="B79:F79"/>
    <mergeCell ref="A50:I50"/>
    <mergeCell ref="A60:J60"/>
    <mergeCell ref="B74:F74"/>
    <mergeCell ref="P11:S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2026-08-16T06:50:23Z</dcterms:created>
  <dcterms:modified xmlns:dcterms="http://purl.org/dc/terms/" xmlns:xsi="http://www.w3.org/2001/XMLSchema-instance" xsi:type="dcterms:W3CDTF">2026-08-16T06:50:23Z</dcterms:modified>
</cp:coreProperties>
</file>